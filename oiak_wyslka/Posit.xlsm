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mysko\OneDrive\Pulpit\oiak_projekt\"/>
    </mc:Choice>
  </mc:AlternateContent>
  <xr:revisionPtr revIDLastSave="0" documentId="13_ncr:1_{C72DA7AC-3D3A-47D2-A665-913F1E60B4F2}" xr6:coauthVersionLast="47" xr6:coauthVersionMax="47" xr10:uidLastSave="{00000000-0000-0000-0000-000000000000}"/>
  <bookViews>
    <workbookView xWindow="-108" yWindow="-108" windowWidth="23256" windowHeight="12456" activeTab="2" xr2:uid="{4A09C341-A4E6-4FB1-BF2C-B7595B13AB8B}"/>
  </bookViews>
  <sheets>
    <sheet name="Arkusz1" sheetId="1" r:id="rId1"/>
    <sheet name="Arkusz2" sheetId="2" r:id="rId2"/>
    <sheet name="Arkusz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 s="1"/>
  <c r="K9" i="2" s="1"/>
  <c r="J9" i="2" s="1"/>
  <c r="I9" i="2" s="1"/>
  <c r="H9" i="2" s="1"/>
  <c r="G9" i="2" s="1"/>
  <c r="F9" i="2" s="1"/>
  <c r="E9" i="2" s="1"/>
  <c r="D9" i="2" s="1"/>
  <c r="C9" i="2" s="1"/>
  <c r="B9" i="2" s="1"/>
  <c r="N9" i="2"/>
  <c r="O9" i="2"/>
  <c r="B8" i="2"/>
  <c r="C8" i="2"/>
  <c r="D8" i="2"/>
  <c r="E8" i="2"/>
  <c r="F8" i="2"/>
  <c r="G8" i="2"/>
  <c r="H8" i="2"/>
  <c r="I8" i="2"/>
  <c r="J8" i="2"/>
  <c r="K8" i="2"/>
  <c r="L8" i="2"/>
  <c r="M8" i="2"/>
  <c r="O8" i="2"/>
  <c r="A9" i="2"/>
  <c r="N8" i="2"/>
  <c r="A8" i="2"/>
  <c r="B12" i="2" s="1"/>
  <c r="B16" i="2"/>
  <c r="B9" i="1"/>
  <c r="B13" i="1"/>
  <c r="B14" i="2" a="1"/>
  <c r="J11" i="2" a="1"/>
  <c r="B13" i="2" a="1"/>
  <c r="B10" i="1" a="1"/>
  <c r="J8" i="1" a="1"/>
  <c r="B11" i="1" a="1"/>
  <c r="B13" i="2" l="1"/>
  <c r="J11" i="2"/>
  <c r="B14" i="2"/>
  <c r="B10" i="1"/>
  <c r="G13" i="1" s="1"/>
  <c r="J8" i="1"/>
  <c r="B11" i="1"/>
  <c r="G12" i="1" a="1"/>
  <c r="G8" i="1" a="1"/>
  <c r="G9" i="1" a="1"/>
  <c r="B17" i="2" l="1"/>
  <c r="G16" i="2"/>
  <c r="B14" i="1"/>
  <c r="G12" i="1"/>
  <c r="J13" i="1" s="1"/>
  <c r="G9" i="1"/>
  <c r="G8" i="1"/>
  <c r="G15" i="2" a="1"/>
  <c r="G11" i="2" a="1"/>
  <c r="G12" i="2" a="1"/>
  <c r="G15" i="2" l="1"/>
  <c r="J16" i="2" s="1"/>
  <c r="G11" i="2"/>
  <c r="G12" i="2"/>
  <c r="J12" i="1"/>
  <c r="J9" i="1"/>
  <c r="B15" i="1" a="1"/>
  <c r="B12" i="1" a="1"/>
  <c r="J12" i="2" l="1"/>
  <c r="J15" i="2"/>
  <c r="B15" i="1"/>
  <c r="B12" i="1"/>
  <c r="B15" i="2" a="1"/>
  <c r="B18" i="2" a="1"/>
  <c r="B18" i="2" l="1"/>
  <c r="B15" i="2"/>
  <c r="B17" i="1"/>
  <c r="B2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<sst xmlns="http://schemas.openxmlformats.org/spreadsheetml/2006/main" count="48" uniqueCount="21">
  <si>
    <t>n</t>
  </si>
  <si>
    <t>Dane:</t>
  </si>
  <si>
    <t>Pola:</t>
  </si>
  <si>
    <t>Znak</t>
  </si>
  <si>
    <t>Regime</t>
  </si>
  <si>
    <t>E</t>
  </si>
  <si>
    <t>poczatek</t>
  </si>
  <si>
    <t>koniec</t>
  </si>
  <si>
    <t>wiersz</t>
  </si>
  <si>
    <t>kolumna</t>
  </si>
  <si>
    <t>E dziesetnie</t>
  </si>
  <si>
    <t>u</t>
  </si>
  <si>
    <t>k</t>
  </si>
  <si>
    <t>WYKŁADNIK:</t>
  </si>
  <si>
    <t>MANTYSA:</t>
  </si>
  <si>
    <t>mantysa:</t>
  </si>
  <si>
    <t>WYNIK:</t>
  </si>
  <si>
    <t>Dorobić warunkowe U2</t>
  </si>
  <si>
    <t>ff's</t>
  </si>
  <si>
    <t>es</t>
  </si>
  <si>
    <t>czas(ms)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</si>
</sst>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1" fillId="0" borderId="0" xfId="0" applyFont="1"/>
    <xf numFmtId="0" fontId="0" fillId="0" borderId="0" xfId="0" applyFill="1" applyBorder="1"/>
    <xf numFmtId="0" fontId="2" fillId="0" borderId="0" xfId="0" applyFont="1" applyFill="1" applyBorder="1" applyAlignme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Ilość przerzutników potrzebncyh do konwersji w zależności od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Arkusz3!$A$2:$A$9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Arkusz3!$B$2:$B$9</c:f>
              <c:numCache>
                <c:formatCode>General</c:formatCode>
                <c:ptCount val="8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138</c:v>
                </c:pt>
                <c:pt idx="6">
                  <c:v>138</c:v>
                </c:pt>
                <c:pt idx="7">
                  <c:v>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D-4D96-B5BB-33744A5EF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865071"/>
        <c:axId val="341864111"/>
      </c:scatterChart>
      <c:valAx>
        <c:axId val="341865071"/>
        <c:scaling>
          <c:orientation val="minMax"/>
          <c:max val="8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Długość 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1864111"/>
        <c:crosses val="autoZero"/>
        <c:crossBetween val="midCat"/>
      </c:valAx>
      <c:valAx>
        <c:axId val="341864111"/>
        <c:scaling>
          <c:orientation val="minMax"/>
          <c:max val="141"/>
          <c:min val="1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FF's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186507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Czas konwersj</a:t>
            </a:r>
            <a:r>
              <a:rPr lang="pl-PL" baseline="0"/>
              <a:t>i w zależności od es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Arkusz3!$A$2:$A$9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Arkusz3!$C$2:$C$9</c:f>
              <c:numCache>
                <c:formatCode>General</c:formatCode>
                <c:ptCount val="8"/>
                <c:pt idx="0">
                  <c:v>4.1000000000000002E-2</c:v>
                </c:pt>
                <c:pt idx="1">
                  <c:v>6.3E-2</c:v>
                </c:pt>
                <c:pt idx="2">
                  <c:v>4.7E-2</c:v>
                </c:pt>
                <c:pt idx="3">
                  <c:v>4.8000000000000001E-2</c:v>
                </c:pt>
                <c:pt idx="4">
                  <c:v>4.5999999999999999E-2</c:v>
                </c:pt>
                <c:pt idx="5">
                  <c:v>5.2999999999999999E-2</c:v>
                </c:pt>
                <c:pt idx="6">
                  <c:v>4.1000000000000002E-2</c:v>
                </c:pt>
                <c:pt idx="7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B-4AF3-A0BA-832384E27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130495"/>
        <c:axId val="860128575"/>
      </c:scatterChart>
      <c:valAx>
        <c:axId val="86013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Długość</a:t>
                </a:r>
                <a:r>
                  <a:rPr lang="pl-PL" baseline="0"/>
                  <a:t> es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60128575"/>
        <c:crosses val="autoZero"/>
        <c:crossBetween val="midCat"/>
      </c:valAx>
      <c:valAx>
        <c:axId val="86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Czas (sekundy)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6013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/>
              <a:t>Ilośc przerzutników w stosunku do czasu - w zależności od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v>FF's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Arkusz3!$B$2:$B$9</c:f>
              <c:numCache>
                <c:formatCode>General</c:formatCode>
                <c:ptCount val="8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138</c:v>
                </c:pt>
                <c:pt idx="6">
                  <c:v>138</c:v>
                </c:pt>
                <c:pt idx="7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0-4CA7-83B9-9839ABB5DEDF}"/>
            </c:ext>
          </c:extLst>
        </c:ser>
        <c:ser>
          <c:idx val="1"/>
          <c:order val="1"/>
          <c:tx>
            <c:v>Czas (sekundy)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Arkusz3!$C$2:$C$9</c:f>
              <c:numCache>
                <c:formatCode>General</c:formatCode>
                <c:ptCount val="8"/>
                <c:pt idx="0">
                  <c:v>4.1000000000000002E-2</c:v>
                </c:pt>
                <c:pt idx="1">
                  <c:v>6.3E-2</c:v>
                </c:pt>
                <c:pt idx="2">
                  <c:v>4.7E-2</c:v>
                </c:pt>
                <c:pt idx="3">
                  <c:v>4.8000000000000001E-2</c:v>
                </c:pt>
                <c:pt idx="4">
                  <c:v>4.5999999999999999E-2</c:v>
                </c:pt>
                <c:pt idx="5">
                  <c:v>5.2999999999999999E-2</c:v>
                </c:pt>
                <c:pt idx="6">
                  <c:v>4.1000000000000002E-2</c:v>
                </c:pt>
                <c:pt idx="7">
                  <c:v>6.3E-2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0-4CA7-83B9-9839ABB5D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391659983"/>
        <c:axId val="391660463"/>
        <c:axId val="0"/>
      </c:bar3DChart>
      <c:catAx>
        <c:axId val="39165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91660463"/>
        <c:crosses val="autoZero"/>
        <c:auto val="1"/>
        <c:lblAlgn val="ctr"/>
        <c:lblOffset val="100"/>
        <c:noMultiLvlLbl val="0"/>
      </c:catAx>
      <c:valAx>
        <c:axId val="391660463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91659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</xdr:colOff>
      <xdr:row>0</xdr:row>
      <xdr:rowOff>110490</xdr:rowOff>
    </xdr:from>
    <xdr:to>
      <xdr:col>11</xdr:col>
      <xdr:colOff>358140</xdr:colOff>
      <xdr:row>15</xdr:row>
      <xdr:rowOff>110490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6169D2D-76C5-3B2D-3879-3F4A48D8B2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15240</xdr:colOff>
      <xdr:row>0</xdr:row>
      <xdr:rowOff>133350</xdr:rowOff>
    </xdr:from>
    <xdr:to>
      <xdr:col>19</xdr:col>
      <xdr:colOff>320040</xdr:colOff>
      <xdr:row>15</xdr:row>
      <xdr:rowOff>133350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2F9D4BEA-512E-1083-95DC-5819258DEF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586740</xdr:colOff>
      <xdr:row>17</xdr:row>
      <xdr:rowOff>11430</xdr:rowOff>
    </xdr:from>
    <xdr:to>
      <xdr:col>11</xdr:col>
      <xdr:colOff>281940</xdr:colOff>
      <xdr:row>32</xdr:row>
      <xdr:rowOff>11430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53949E89-92BC-81D3-5801-2651BE1B4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4C8A4-0AA1-4931-BC27-6E440A2DEAC1}">
  <sheetPr codeName="Arkusz1"/>
  <dimension ref="A1:AG17"/>
  <sheetViews>
    <sheetView zoomScale="105" workbookViewId="0">
      <selection activeCell="M15" sqref="M15"/>
    </sheetView>
  </sheetViews>
  <sheetFormatPr defaultRowHeight="14.4" x14ac:dyDescent="0.3"/>
  <cols>
    <col min="1" max="1" width="10.33203125" customWidth="1"/>
    <col min="2" max="2" width="12.6640625" bestFit="1" customWidth="1"/>
  </cols>
  <sheetData>
    <row r="1" spans="1:33" x14ac:dyDescent="0.3">
      <c r="A1" s="1" t="s">
        <v>1</v>
      </c>
      <c r="B1" s="1"/>
    </row>
    <row r="2" spans="1:33" x14ac:dyDescent="0.3">
      <c r="A2" s="1" t="s">
        <v>0</v>
      </c>
      <c r="B2" s="1">
        <v>16</v>
      </c>
    </row>
    <row r="3" spans="1:33" x14ac:dyDescent="0.3">
      <c r="A3" s="1" t="s">
        <v>19</v>
      </c>
      <c r="B3" s="1">
        <v>2</v>
      </c>
    </row>
    <row r="5" spans="1:33" x14ac:dyDescent="0.3">
      <c r="A5" s="2">
        <v>1</v>
      </c>
      <c r="B5" s="3">
        <v>1</v>
      </c>
      <c r="C5" s="3">
        <v>1</v>
      </c>
      <c r="D5" s="3">
        <v>0</v>
      </c>
      <c r="E5" s="3">
        <v>0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0</v>
      </c>
      <c r="M5" s="3">
        <v>0</v>
      </c>
      <c r="N5" s="3">
        <v>0</v>
      </c>
      <c r="O5" s="3">
        <v>1</v>
      </c>
      <c r="P5" s="3">
        <v>1</v>
      </c>
    </row>
    <row r="6" spans="1:33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33" x14ac:dyDescent="0.3">
      <c r="F7" t="s">
        <v>13</v>
      </c>
      <c r="K7" s="5"/>
      <c r="L7" s="5"/>
      <c r="M7" s="5"/>
      <c r="N7" s="5"/>
      <c r="O7" s="5"/>
    </row>
    <row r="8" spans="1:33" x14ac:dyDescent="0.3">
      <c r="A8" t="s">
        <v>2</v>
      </c>
      <c r="F8" t="s">
        <v>8</v>
      </c>
      <c r="G8" cm="1">
        <f t="array" aca="1" ref="G8" ca="1">ROW(INDIRECT(B11))</f>
        <v>5</v>
      </c>
      <c r="I8" t="s">
        <v>6</v>
      </c>
      <c r="J8" t="str" cm="1">
        <f t="array" ref="J8">KomorkaZatrzymaniaPoziomo(B5:O5)</f>
        <v>D5</v>
      </c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x14ac:dyDescent="0.3">
      <c r="A9" t="s">
        <v>3</v>
      </c>
      <c r="B9">
        <f>A5</f>
        <v>1</v>
      </c>
      <c r="F9" t="s">
        <v>9</v>
      </c>
      <c r="G9" cm="1">
        <f t="array" aca="1" ref="G9" ca="1">COLUMN(OFFSET(INDIRECT(B11),0,B3))</f>
        <v>6</v>
      </c>
      <c r="I9" t="s">
        <v>7</v>
      </c>
      <c r="J9" t="str">
        <f ca="1">ADDRESS(G8,G9,4)</f>
        <v>F5</v>
      </c>
    </row>
    <row r="10" spans="1:33" x14ac:dyDescent="0.3">
      <c r="A10" t="s">
        <v>4</v>
      </c>
      <c r="B10" cm="1">
        <f t="array" ref="B10">ZliczIdentyczneBityPoziomo(B5:O5)</f>
        <v>2</v>
      </c>
    </row>
    <row r="11" spans="1:33" x14ac:dyDescent="0.3">
      <c r="A11" t="s">
        <v>5</v>
      </c>
      <c r="B11" t="str" cm="1">
        <f t="array" ref="B11">KomorkaZatrzymaniaPoziomo(B5:O5)</f>
        <v>D5</v>
      </c>
      <c r="F11" t="s">
        <v>14</v>
      </c>
    </row>
    <row r="12" spans="1:33" x14ac:dyDescent="0.3">
      <c r="A12" t="s">
        <v>10</v>
      </c>
      <c r="B12" cm="1">
        <f t="array" aca="1" ref="B12" ca="1">KonwertujBinarnaNaDziesietna(OFFSET(INDIRECT(J8),0,1):INDIRECT(J9))</f>
        <v>1</v>
      </c>
      <c r="F12" t="s">
        <v>8</v>
      </c>
      <c r="G12" cm="1">
        <f t="array" aca="1" ref="G12" ca="1">ROW(INDIRECT(B11))</f>
        <v>5</v>
      </c>
      <c r="I12" t="s">
        <v>6</v>
      </c>
      <c r="J12" t="str">
        <f ca="1">ADDRESS(G8,G9,4)</f>
        <v>F5</v>
      </c>
    </row>
    <row r="13" spans="1:33" x14ac:dyDescent="0.3">
      <c r="A13" t="s">
        <v>11</v>
      </c>
      <c r="B13">
        <f>POWER(2,POWER(2,B3))</f>
        <v>16</v>
      </c>
      <c r="F13" t="s">
        <v>9</v>
      </c>
      <c r="G13">
        <f ca="1">COLUMN(OFFSET(G13,0,(B2-B3-B10-1)))</f>
        <v>18</v>
      </c>
      <c r="I13" t="s">
        <v>7</v>
      </c>
      <c r="J13" t="str">
        <f ca="1">ADDRESS(G12,G13,4)</f>
        <v>R5</v>
      </c>
    </row>
    <row r="14" spans="1:33" x14ac:dyDescent="0.3">
      <c r="A14" t="s">
        <v>12</v>
      </c>
      <c r="B14">
        <f>IF(B5=1,B10-1,-B10)</f>
        <v>1</v>
      </c>
    </row>
    <row r="15" spans="1:33" x14ac:dyDescent="0.3">
      <c r="A15" t="s">
        <v>15</v>
      </c>
      <c r="B15" cm="1">
        <f t="array" aca="1" ref="B15" ca="1">KonwertujBinarnaNaDziesietnaZmiennoprzecinkowa(OFFSET(INDIRECT(J12),0,0):INDIRECT(J13))</f>
        <v>1.9716796875</v>
      </c>
    </row>
    <row r="17" spans="1:2" x14ac:dyDescent="0.3">
      <c r="A17" s="4" t="s">
        <v>16</v>
      </c>
      <c r="B17" s="4">
        <f ca="1">-1^B9*B13^B14*2^B12*B15</f>
        <v>-63.09375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7A7CD-BB20-4CE1-A4B7-6F5F8188C8C8}">
  <sheetPr codeName="Arkusz2"/>
  <dimension ref="A1:AD20"/>
  <sheetViews>
    <sheetView workbookViewId="0">
      <selection activeCell="P13" sqref="P13"/>
    </sheetView>
  </sheetViews>
  <sheetFormatPr defaultRowHeight="14.4" x14ac:dyDescent="0.3"/>
  <cols>
    <col min="2" max="2" width="12.6640625" bestFit="1" customWidth="1"/>
  </cols>
  <sheetData>
    <row r="1" spans="1:30" x14ac:dyDescent="0.3">
      <c r="A1" t="s">
        <v>1</v>
      </c>
    </row>
    <row r="2" spans="1:30" x14ac:dyDescent="0.3">
      <c r="A2" t="s">
        <v>0</v>
      </c>
      <c r="B2">
        <v>15</v>
      </c>
    </row>
    <row r="3" spans="1:30" x14ac:dyDescent="0.3">
      <c r="A3" t="s">
        <v>5</v>
      </c>
      <c r="B3">
        <v>3</v>
      </c>
    </row>
    <row r="5" spans="1:30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t="s">
        <v>17</v>
      </c>
    </row>
    <row r="6" spans="1:30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30" x14ac:dyDescent="0.3">
      <c r="A7" s="2">
        <v>1</v>
      </c>
      <c r="B7" s="1">
        <v>1</v>
      </c>
      <c r="C7" s="1">
        <v>1</v>
      </c>
      <c r="D7" s="1">
        <v>1</v>
      </c>
      <c r="E7" s="1">
        <v>0</v>
      </c>
      <c r="F7" s="1">
        <v>1</v>
      </c>
      <c r="G7" s="1">
        <v>0</v>
      </c>
      <c r="H7" s="1">
        <v>1</v>
      </c>
      <c r="I7" s="1">
        <v>1</v>
      </c>
      <c r="J7" s="1">
        <v>0</v>
      </c>
      <c r="K7" s="1">
        <v>1</v>
      </c>
      <c r="L7" s="1">
        <v>0</v>
      </c>
      <c r="M7" s="1">
        <v>1</v>
      </c>
      <c r="N7" s="1">
        <v>0</v>
      </c>
      <c r="O7" s="1">
        <v>1</v>
      </c>
    </row>
    <row r="8" spans="1:30" x14ac:dyDescent="0.3">
      <c r="A8" s="2">
        <f>IF(A7=1,1,0)</f>
        <v>1</v>
      </c>
      <c r="B8" s="1">
        <f>IF($A$7=1,1-B7,B7)</f>
        <v>0</v>
      </c>
      <c r="C8" s="1">
        <f t="shared" ref="C8:O8" si="0">IF($A$7=1,1-C7,C7)</f>
        <v>0</v>
      </c>
      <c r="D8" s="1">
        <f t="shared" si="0"/>
        <v>0</v>
      </c>
      <c r="E8" s="1">
        <f t="shared" si="0"/>
        <v>1</v>
      </c>
      <c r="F8" s="1">
        <f t="shared" si="0"/>
        <v>0</v>
      </c>
      <c r="G8" s="1">
        <f t="shared" si="0"/>
        <v>1</v>
      </c>
      <c r="H8" s="1">
        <f t="shared" si="0"/>
        <v>0</v>
      </c>
      <c r="I8" s="1">
        <f t="shared" si="0"/>
        <v>0</v>
      </c>
      <c r="J8" s="1">
        <f t="shared" si="0"/>
        <v>1</v>
      </c>
      <c r="K8" s="1">
        <f t="shared" si="0"/>
        <v>0</v>
      </c>
      <c r="L8" s="1">
        <f t="shared" si="0"/>
        <v>1</v>
      </c>
      <c r="M8" s="1">
        <f t="shared" si="0"/>
        <v>0</v>
      </c>
      <c r="N8" s="1">
        <f t="shared" si="0"/>
        <v>1</v>
      </c>
      <c r="O8" s="1">
        <f t="shared" si="0"/>
        <v>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  <row r="9" spans="1:30" x14ac:dyDescent="0.3">
      <c r="A9" s="2">
        <f>IF(A8=1,1,0)</f>
        <v>1</v>
      </c>
      <c r="B9">
        <f t="shared" ref="B9:M9" si="1">IF(C9&gt;1,C8+1,C8)</f>
        <v>0</v>
      </c>
      <c r="C9">
        <f t="shared" si="1"/>
        <v>0</v>
      </c>
      <c r="D9">
        <f t="shared" si="1"/>
        <v>1</v>
      </c>
      <c r="E9">
        <f t="shared" si="1"/>
        <v>0</v>
      </c>
      <c r="F9">
        <f t="shared" si="1"/>
        <v>1</v>
      </c>
      <c r="G9">
        <f t="shared" si="1"/>
        <v>0</v>
      </c>
      <c r="H9">
        <f t="shared" si="1"/>
        <v>0</v>
      </c>
      <c r="I9">
        <f t="shared" si="1"/>
        <v>1</v>
      </c>
      <c r="J9">
        <f t="shared" si="1"/>
        <v>0</v>
      </c>
      <c r="K9">
        <f t="shared" si="1"/>
        <v>1</v>
      </c>
      <c r="L9">
        <f t="shared" si="1"/>
        <v>0</v>
      </c>
      <c r="M9">
        <f t="shared" si="1"/>
        <v>1</v>
      </c>
      <c r="N9">
        <f>IF(O9&gt;1,O8+1,O8)</f>
        <v>0</v>
      </c>
      <c r="O9">
        <f>IF(A$1=1,O8+1,O8)</f>
        <v>0</v>
      </c>
    </row>
    <row r="10" spans="1:30" x14ac:dyDescent="0.3">
      <c r="F10" t="s">
        <v>13</v>
      </c>
    </row>
    <row r="11" spans="1:30" x14ac:dyDescent="0.3">
      <c r="A11" t="s">
        <v>2</v>
      </c>
      <c r="F11" t="s">
        <v>8</v>
      </c>
      <c r="G11" cm="1">
        <f t="array" aca="1" ref="G11" ca="1">ROW(INDIRECT(B14))</f>
        <v>8</v>
      </c>
      <c r="I11" t="s">
        <v>6</v>
      </c>
      <c r="J11" t="str" cm="1">
        <f t="array" ref="J11">KomorkaZatrzymaniaPoziomo(B8:O8)</f>
        <v>E8</v>
      </c>
    </row>
    <row r="12" spans="1:30" x14ac:dyDescent="0.3">
      <c r="A12" t="s">
        <v>3</v>
      </c>
      <c r="B12">
        <f>A8</f>
        <v>1</v>
      </c>
      <c r="F12" t="s">
        <v>9</v>
      </c>
      <c r="G12" cm="1">
        <f t="array" aca="1" ref="G12" ca="1">COLUMN(OFFSET(INDIRECT(B14),0,B3))</f>
        <v>8</v>
      </c>
      <c r="I12" t="s">
        <v>7</v>
      </c>
      <c r="J12" t="str">
        <f ca="1">ADDRESS(G11,G12,4)</f>
        <v>H8</v>
      </c>
    </row>
    <row r="13" spans="1:30" x14ac:dyDescent="0.3">
      <c r="A13" t="s">
        <v>4</v>
      </c>
      <c r="B13" cm="1">
        <f t="array" ref="B13">ZliczIdentyczneBityPoziomo(B8:O8)</f>
        <v>3</v>
      </c>
    </row>
    <row r="14" spans="1:30" x14ac:dyDescent="0.3">
      <c r="A14" t="s">
        <v>5</v>
      </c>
      <c r="B14" t="str" cm="1">
        <f t="array" ref="B14">KomorkaZatrzymaniaPoziomo(B8:O8)</f>
        <v>E8</v>
      </c>
      <c r="F14" t="s">
        <v>14</v>
      </c>
    </row>
    <row r="15" spans="1:30" x14ac:dyDescent="0.3">
      <c r="A15" t="s">
        <v>10</v>
      </c>
      <c r="B15" cm="1">
        <f t="array" aca="1" ref="B15" ca="1">KonwertujBinarnaNaDziesietna(OFFSET(INDIRECT(J11),0,1):INDIRECT(J12))</f>
        <v>2</v>
      </c>
      <c r="F15" t="s">
        <v>8</v>
      </c>
      <c r="G15" cm="1">
        <f t="array" aca="1" ref="G15" ca="1">ROW(INDIRECT(B14))</f>
        <v>8</v>
      </c>
      <c r="I15" t="s">
        <v>6</v>
      </c>
      <c r="J15" t="str">
        <f ca="1">ADDRESS(G11,G12,4)</f>
        <v>H8</v>
      </c>
    </row>
    <row r="16" spans="1:30" x14ac:dyDescent="0.3">
      <c r="A16" t="s">
        <v>11</v>
      </c>
      <c r="B16">
        <f>POWER(2,POWER(2,B3))</f>
        <v>256</v>
      </c>
      <c r="F16" t="s">
        <v>9</v>
      </c>
      <c r="G16">
        <f ca="1">COLUMN(OFFSET(G16,0,(B2-B3-B13-1)))</f>
        <v>15</v>
      </c>
      <c r="I16" t="s">
        <v>7</v>
      </c>
      <c r="J16" t="str">
        <f ca="1">ADDRESS(G15,G16,4)</f>
        <v>O8</v>
      </c>
    </row>
    <row r="17" spans="1:2" x14ac:dyDescent="0.3">
      <c r="A17" t="s">
        <v>12</v>
      </c>
      <c r="B17">
        <f>IF(B8=1,B13-1,-B13)</f>
        <v>-3</v>
      </c>
    </row>
    <row r="18" spans="1:2" x14ac:dyDescent="0.3">
      <c r="A18" t="s">
        <v>15</v>
      </c>
      <c r="B18" cm="1">
        <f t="array" aca="1" ref="B18" ca="1">KonwertujBinarnaNaDziesietnaZmiennoprzecinkowa(OFFSET(INDIRECT(J15),0,0):INDIRECT(J16))</f>
        <v>1.328125</v>
      </c>
    </row>
    <row r="20" spans="1:2" x14ac:dyDescent="0.3">
      <c r="A20" t="s">
        <v>16</v>
      </c>
      <c r="B20">
        <f ca="1">-1^B12*B16^B17*2^B15*B18</f>
        <v>-3.166496753692627E-7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098B3-F05F-4102-B838-221D50E106D2}">
  <sheetPr codeName="Arkusz3"/>
  <dimension ref="A1:C9"/>
  <sheetViews>
    <sheetView tabSelected="1" workbookViewId="0">
      <selection activeCell="N23" sqref="N23"/>
    </sheetView>
  </sheetViews>
  <sheetFormatPr defaultRowHeight="14.4" x14ac:dyDescent="0.3"/>
  <sheetData>
    <row r="1" spans="1:3" x14ac:dyDescent="0.3">
      <c r="A1" s="2" t="s">
        <v>19</v>
      </c>
      <c r="B1" s="2" t="s">
        <v>18</v>
      </c>
      <c r="C1" s="2" t="s">
        <v>20</v>
      </c>
    </row>
    <row r="2" spans="1:3" x14ac:dyDescent="0.3">
      <c r="A2" s="1">
        <v>1</v>
      </c>
      <c r="B2" s="1">
        <v>136</v>
      </c>
      <c r="C2" s="1">
        <v>4.1000000000000002E-2</v>
      </c>
    </row>
    <row r="3" spans="1:3" x14ac:dyDescent="0.3">
      <c r="A3" s="1">
        <v>2</v>
      </c>
      <c r="B3" s="1">
        <v>136</v>
      </c>
      <c r="C3" s="1">
        <v>6.3E-2</v>
      </c>
    </row>
    <row r="4" spans="1:3" x14ac:dyDescent="0.3">
      <c r="A4" s="1">
        <v>3</v>
      </c>
      <c r="B4" s="1">
        <v>136</v>
      </c>
      <c r="C4" s="1">
        <v>4.7E-2</v>
      </c>
    </row>
    <row r="5" spans="1:3" x14ac:dyDescent="0.3">
      <c r="A5" s="1">
        <v>4</v>
      </c>
      <c r="B5" s="1">
        <v>137</v>
      </c>
      <c r="C5" s="1">
        <v>4.8000000000000001E-2</v>
      </c>
    </row>
    <row r="6" spans="1:3" x14ac:dyDescent="0.3">
      <c r="A6" s="1">
        <v>5</v>
      </c>
      <c r="B6" s="1">
        <v>138</v>
      </c>
      <c r="C6" s="1">
        <v>4.5999999999999999E-2</v>
      </c>
    </row>
    <row r="7" spans="1:3" x14ac:dyDescent="0.3">
      <c r="A7" s="1">
        <v>6</v>
      </c>
      <c r="B7" s="1">
        <v>138</v>
      </c>
      <c r="C7" s="1">
        <v>5.2999999999999999E-2</v>
      </c>
    </row>
    <row r="8" spans="1:3" x14ac:dyDescent="0.3">
      <c r="A8" s="1">
        <v>7</v>
      </c>
      <c r="B8" s="1">
        <v>138</v>
      </c>
      <c r="C8" s="1">
        <v>4.1000000000000002E-2</v>
      </c>
    </row>
    <row r="9" spans="1:3" x14ac:dyDescent="0.3">
      <c r="A9" s="1">
        <v>8</v>
      </c>
      <c r="B9" s="1">
        <v>140</v>
      </c>
      <c r="C9" s="1">
        <v>6.3E-2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Myśków (272794)</dc:creator>
  <cp:lastModifiedBy>Maciej Myśków (272794)</cp:lastModifiedBy>
  <dcterms:created xsi:type="dcterms:W3CDTF">2024-05-28T15:49:31Z</dcterms:created>
  <dcterms:modified xsi:type="dcterms:W3CDTF">2024-06-20T18:03:51Z</dcterms:modified>
</cp:coreProperties>
</file>